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DRONIZAÇÃO" sheetId="1" state="visible" r:id="rId3"/>
    <sheet name="AMOSTR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E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se o sistema de aquecimento utilizado foi a manta de aquecimento ou o bloco digestor de NTK.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16</xdr:colOff>
                <xdr:row>3</xdr:row>
                <xdr:rowOff>10</xdr:rowOff>
              </xdr:from>
              <xdr:to>
                <xdr:col>8</xdr:col>
                <xdr:colOff>25</xdr:colOff>
                <xdr:row>7</xdr:row>
                <xdr:rowOff>8</xdr:rowOff>
              </xdr:to>
            </anchor>
          </commentPr>
        </mc:Choice>
        <mc:Fallback/>
      </mc:AlternateContent>
    </comment>
    <comment ref="G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a temperatura de trabalho do sistema de aquecimento utilizado.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3</xdr:row>
                <xdr:rowOff>10</xdr:rowOff>
              </xdr:from>
              <xdr:to>
                <xdr:col>8</xdr:col>
                <xdr:colOff>112</xdr:colOff>
                <xdr:row>7</xdr:row>
                <xdr:rowOff>8</xdr:rowOff>
              </xdr:to>
            </anchor>
          </commentPr>
        </mc:Choice>
        <mc:Fallback/>
      </mc:AlternateContent>
    </comment>
    <comment ref="I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Colocar o fator de diluição utilizado. Caso não tenha diluição, preencher a célula com valor igual a 1.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173</xdr:colOff>
                <xdr:row>3</xdr:row>
                <xdr:rowOff>10</xdr:rowOff>
              </xdr:from>
              <xdr:to>
                <xdr:col>9</xdr:col>
                <xdr:colOff>182</xdr:colOff>
                <xdr:row>7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<sst xmlns="http://schemas.openxmlformats.org/spreadsheetml/2006/main" count="78" uniqueCount="55">
  <si>
    <t xml:space="preserve">*SUBSTITUIR APENAS AS CELAS DE COR BRANCA; AS VERDES NÃO PODEM SER MODIFICADAS.</t>
  </si>
  <si>
    <t xml:space="preserve">TÍTULO: DETERMINAÇÃO DE NITROGÊNIO TOTAL KJELDAHL</t>
  </si>
  <si>
    <t xml:space="preserve">RESPONSÁVEL</t>
  </si>
  <si>
    <t xml:space="preserve">PROJETO</t>
  </si>
  <si>
    <t xml:space="preserve">DATA DA ANÁLISE</t>
  </si>
  <si>
    <t xml:space="preserve">HORA DA ANÁLISE</t>
  </si>
  <si>
    <r>
      <rPr>
        <b val="true"/>
        <sz val="8"/>
        <color rgb="FF000000"/>
        <rFont val="Verdana"/>
        <family val="2"/>
      </rPr>
      <t xml:space="preserve">PADRONIZAÇÃO DO ÁCIDO SULFÚRICO (H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) 0,02 N </t>
    </r>
  </si>
  <si>
    <r>
      <rPr>
        <b val="true"/>
        <sz val="8"/>
        <color rgb="FF000000"/>
        <rFont val="Verdana"/>
        <family val="2"/>
      </rPr>
      <t xml:space="preserve">PADRÃO PRIMÁRIO: TETRABORATO DE SÓDIO DECA HIDRATADO (Na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B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O</t>
    </r>
    <r>
      <rPr>
        <b val="true"/>
        <vertAlign val="subscript"/>
        <sz val="8"/>
        <color rgb="FF000000"/>
        <rFont val="Verdana"/>
        <family val="2"/>
      </rPr>
      <t xml:space="preserve">7</t>
    </r>
    <r>
      <rPr>
        <b val="true"/>
        <sz val="8"/>
        <color rgb="FF000000"/>
        <rFont val="Verdana"/>
        <family val="2"/>
      </rPr>
      <t xml:space="preserve"> . 10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O)</t>
    </r>
  </si>
  <si>
    <t xml:space="preserve">MASSA PESADA</t>
  </si>
  <si>
    <t xml:space="preserve">g</t>
  </si>
  <si>
    <t xml:space="preserve">MASSA MOLAR</t>
  </si>
  <si>
    <r>
      <rPr>
        <sz val="8"/>
        <color rgb="FF000000"/>
        <rFont val="Verdana"/>
        <family val="2"/>
      </rPr>
      <t xml:space="preserve">g mol</t>
    </r>
    <r>
      <rPr>
        <vertAlign val="superscript"/>
        <sz val="8"/>
        <color rgb="FF000000"/>
        <rFont val="Verdana"/>
        <family val="2"/>
      </rPr>
      <t xml:space="preserve">-1</t>
    </r>
  </si>
  <si>
    <t xml:space="preserve">VOLUME DO BALÃO VOLUMÉTRICO</t>
  </si>
  <si>
    <t xml:space="preserve">mL</t>
  </si>
  <si>
    <t xml:space="preserve">CONCENTRAÇÃO</t>
  </si>
  <si>
    <t xml:space="preserve">eqg/L</t>
  </si>
  <si>
    <t xml:space="preserve">VOLUME DA ALÍQUOTA</t>
  </si>
  <si>
    <t xml:space="preserve">1ª TITULAÇÃO</t>
  </si>
  <si>
    <r>
      <rPr>
        <sz val="8"/>
        <color rgb="FF000000"/>
        <rFont val="Verdana"/>
        <family val="2"/>
      </rPr>
      <t xml:space="preserve">VOLUME DE H</t>
    </r>
    <r>
      <rPr>
        <vertAlign val="subscript"/>
        <sz val="8"/>
        <color rgb="FF000000"/>
        <rFont val="Verdana"/>
        <family val="2"/>
      </rPr>
      <t xml:space="preserve">2</t>
    </r>
    <r>
      <rPr>
        <sz val="8"/>
        <color rgb="FF000000"/>
        <rFont val="Verdana"/>
        <family val="2"/>
      </rPr>
      <t xml:space="preserve">SO</t>
    </r>
    <r>
      <rPr>
        <vertAlign val="subscript"/>
        <sz val="8"/>
        <color rgb="FF000000"/>
        <rFont val="Verdana"/>
        <family val="2"/>
      </rPr>
      <t xml:space="preserve">4</t>
    </r>
    <r>
      <rPr>
        <sz val="8"/>
        <color rgb="FF000000"/>
        <rFont val="Verdana"/>
        <family val="2"/>
      </rPr>
      <t xml:space="preserve"> GASTO</t>
    </r>
  </si>
  <si>
    <t xml:space="preserve">CONCENTRAÇÃO TEÓRICA</t>
  </si>
  <si>
    <t xml:space="preserve">CONCENTRAÇÃO REAL</t>
  </si>
  <si>
    <t xml:space="preserve">2ª TITULAÇÃO</t>
  </si>
  <si>
    <t xml:space="preserve">3ª TITULAÇÃO</t>
  </si>
  <si>
    <t xml:space="preserve">CONCENTRAÇÃO REAL DO ÁCIDO SULFÚRICO 0,02 eqg/L</t>
  </si>
  <si>
    <t xml:space="preserve">DESVIO PADRÃO RELATIVO</t>
  </si>
  <si>
    <t xml:space="preserve">%</t>
  </si>
  <si>
    <t xml:space="preserve">FATOR DE CORREÇÃO</t>
  </si>
  <si>
    <t xml:space="preserve">REAGENTES UTILIZADOS</t>
  </si>
  <si>
    <t xml:space="preserve">IDENTIFICAÇÃO</t>
  </si>
  <si>
    <t xml:space="preserve">REAGENTE DE DIGESTÃO</t>
  </si>
  <si>
    <t xml:space="preserve">HIDRÓXIDO DE SÓDIO</t>
  </si>
  <si>
    <t xml:space="preserve">ÁCIDO SULFÚRICO 0,1 eqg/L</t>
  </si>
  <si>
    <t xml:space="preserve">ÁCIDO SULFÚRICO 0,02 eqg/L</t>
  </si>
  <si>
    <t xml:space="preserve">TETRABORATO DE SÓDIO DECA HIDRATADO</t>
  </si>
  <si>
    <t xml:space="preserve">ALARANJADO DE METILA</t>
  </si>
  <si>
    <t xml:space="preserve">SOLUÇÃO DE AZUL DE METILENO 0,2% </t>
  </si>
  <si>
    <t xml:space="preserve">SOLUÇÃO DE VERMELHO DE METILA 0,2%</t>
  </si>
  <si>
    <t xml:space="preserve">SOLUÇÃO INDICADORA DE ÁCIDO BÓRICO</t>
  </si>
  <si>
    <t xml:space="preserve">QUANTIFICAÇÃO DAS AMOSTRAS (DETERMINAÇÃO DE NITROGÊNIO TOTAL KJELDAHL)</t>
  </si>
  <si>
    <t xml:space="preserve">INFORMAÇÕES DA AMOSTRA</t>
  </si>
  <si>
    <t xml:space="preserve">INFORMAÇÕES DA DIGESTÃO</t>
  </si>
  <si>
    <t xml:space="preserve">INFORMAÇÕES DA TITULAÇÃO</t>
  </si>
  <si>
    <t xml:space="preserve">IDENTIFICAÇÃO DA AMOSTRA</t>
  </si>
  <si>
    <t xml:space="preserve">VOLUME DE AMOSTRA</t>
  </si>
  <si>
    <t xml:space="preserve">VOLUME DE DIGESTORA</t>
  </si>
  <si>
    <t xml:space="preserve">SISTEMA DE AQUECIMENTO</t>
  </si>
  <si>
    <t xml:space="preserve">TEMPO DE DIGESTÃO</t>
  </si>
  <si>
    <t xml:space="preserve">TEMPERATURA</t>
  </si>
  <si>
    <r>
      <rPr>
        <b val="true"/>
        <sz val="8"/>
        <color rgb="FF000000"/>
        <rFont val="Verdana"/>
        <family val="2"/>
      </rPr>
      <t xml:space="preserve">VOLUME DE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 GASTO</t>
    </r>
  </si>
  <si>
    <r>
      <rPr>
        <b val="true"/>
        <sz val="8"/>
        <color rgb="FF000000"/>
        <rFont val="Verdana"/>
        <family val="2"/>
      </rPr>
      <t xml:space="preserve">DILUIÇÃO DO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 </t>
    </r>
  </si>
  <si>
    <t xml:space="preserve">CONCENTRAÇÃO N-AMONIACAL</t>
  </si>
  <si>
    <t xml:space="preserve">UTILIZADO</t>
  </si>
  <si>
    <t xml:space="preserve">minutos</t>
  </si>
  <si>
    <t xml:space="preserve">º C</t>
  </si>
  <si>
    <t xml:space="preserve">mg N/L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</si>
</sst>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00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Verdana"/>
      <family val="2"/>
    </font>
    <font>
      <b val="true"/>
      <sz val="12"/>
      <color rgb="FF000000"/>
      <name val="Arial"/>
      <family val="2"/>
    </font>
    <font>
      <b val="true"/>
      <sz val="10"/>
      <color rgb="FFFF0000"/>
      <name val="Arial Narrow"/>
      <family val="2"/>
    </font>
    <font>
      <b val="true"/>
      <sz val="12"/>
      <color rgb="FF000000"/>
      <name val="Arial Narrow"/>
      <family val="2"/>
    </font>
    <font>
      <b val="true"/>
      <sz val="8"/>
      <color rgb="FF000000"/>
      <name val="Verdana"/>
      <family val="2"/>
    </font>
    <font>
      <sz val="10"/>
      <color rgb="FF000000"/>
      <name val="Verdana"/>
      <family val="2"/>
    </font>
    <font>
      <b val="true"/>
      <vertAlign val="subscript"/>
      <sz val="8"/>
      <color rgb="FF000000"/>
      <name val="Verdana"/>
      <family val="2"/>
    </font>
    <font>
      <vertAlign val="superscript"/>
      <sz val="8"/>
      <color rgb="FF000000"/>
      <name val="Verdana"/>
      <family val="2"/>
    </font>
    <font>
      <vertAlign val="subscript"/>
      <sz val="8"/>
      <color rgb="FF000000"/>
      <name val="Verdana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98" workbookViewId="0">
      <selection pane="topLeft" activeCell="B1" activeCellId="0" sqref="B1"/>
    </sheetView>
  </sheetViews>
  <sheetFormatPr defaultColWidth="9.09375" defaultRowHeight="14.4" customHeight="false" zeroHeight="false" outlineLevelRow="0" outlineLevelCol="0"/>
  <cols>
    <col collapsed="false" customWidth="true" hidden="false" outlineLevel="0" max="1" min="1" style="0" width="8.87"/>
    <col collapsed="false" customWidth="true" hidden="false" outlineLevel="0" max="2" min="2" style="1" width="39.42"/>
    <col collapsed="false" customWidth="true" hidden="false" outlineLevel="0" max="3" min="3" style="1" width="15.86"/>
    <col collapsed="false" customWidth="true" hidden="false" outlineLevel="0" max="4" min="4" style="1" width="14.32"/>
    <col collapsed="false" customWidth="true" hidden="false" outlineLevel="0" max="5" min="5" style="1" width="8.42"/>
    <col collapsed="false" customWidth="false" hidden="false" outlineLevel="0" max="6" min="6" style="1" width="9.09"/>
    <col collapsed="false" customWidth="true" hidden="false" outlineLevel="0" max="7" min="7" style="1" width="10.32"/>
    <col collapsed="false" customWidth="true" hidden="false" outlineLevel="0" max="8" min="8" style="1" width="5.42"/>
    <col collapsed="false" customWidth="false" hidden="false" outlineLevel="0" max="257" min="9" style="1" width="9.09"/>
  </cols>
  <sheetData>
    <row r="1" customFormat="false" ht="16.2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4"/>
      <c r="I1" s="5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15" hidden="false" customHeight="false" outlineLevel="0" collapsed="false">
      <c r="B2" s="7" t="s">
        <v>1</v>
      </c>
      <c r="C2" s="7"/>
      <c r="D2" s="7"/>
      <c r="E2" s="7"/>
      <c r="F2" s="7"/>
      <c r="G2" s="7"/>
    </row>
    <row r="3" customFormat="false" ht="15" hidden="false" customHeight="false" outlineLevel="0" collapsed="false">
      <c r="B3" s="8" t="s">
        <v>2</v>
      </c>
      <c r="C3" s="8"/>
      <c r="D3" s="9"/>
      <c r="E3" s="9"/>
      <c r="F3" s="9"/>
      <c r="G3" s="9"/>
    </row>
    <row r="4" customFormat="false" ht="15" hidden="false" customHeight="false" outlineLevel="0" collapsed="false">
      <c r="B4" s="8" t="s">
        <v>3</v>
      </c>
      <c r="C4" s="8"/>
      <c r="D4" s="9"/>
      <c r="E4" s="9"/>
      <c r="F4" s="9"/>
      <c r="G4" s="9"/>
    </row>
    <row r="5" customFormat="false" ht="15" hidden="false" customHeight="false" outlineLevel="0" collapsed="false">
      <c r="B5" s="8" t="s">
        <v>4</v>
      </c>
      <c r="C5" s="8"/>
      <c r="D5" s="9"/>
      <c r="E5" s="9"/>
      <c r="F5" s="9"/>
      <c r="G5" s="9"/>
    </row>
    <row r="6" customFormat="false" ht="18.75" hidden="false" customHeight="true" outlineLevel="0" collapsed="false">
      <c r="B6" s="8" t="s">
        <v>5</v>
      </c>
      <c r="C6" s="8"/>
      <c r="D6" s="9"/>
      <c r="E6" s="9"/>
      <c r="F6" s="9"/>
      <c r="G6" s="9"/>
    </row>
    <row r="7" customFormat="false" ht="15" hidden="false" customHeight="false" outlineLevel="0" collapsed="false"/>
    <row r="8" customFormat="false" ht="15" hidden="false" customHeight="false" outlineLevel="0" collapsed="false">
      <c r="B8" s="10" t="s">
        <v>6</v>
      </c>
      <c r="C8" s="10"/>
      <c r="D8" s="10"/>
      <c r="E8" s="10"/>
      <c r="F8" s="10"/>
      <c r="G8" s="11"/>
      <c r="H8" s="11"/>
      <c r="I8" s="11"/>
    </row>
    <row r="9" customFormat="false" ht="15" hidden="false" customHeight="false" outlineLevel="0" collapsed="false"/>
    <row r="10" customFormat="false" ht="15" hidden="false" customHeight="false" outlineLevel="0" collapsed="false">
      <c r="B10" s="10" t="s">
        <v>7</v>
      </c>
      <c r="C10" s="10"/>
      <c r="D10" s="10"/>
      <c r="E10" s="10"/>
      <c r="F10" s="12"/>
      <c r="G10" s="12"/>
      <c r="H10" s="12"/>
      <c r="I10" s="12"/>
    </row>
    <row r="11" customFormat="false" ht="14.4" hidden="false" customHeight="false" outlineLevel="0" collapsed="false">
      <c r="B11" s="13" t="s">
        <v>8</v>
      </c>
      <c r="C11" s="14"/>
      <c r="D11" s="15" t="s">
        <v>9</v>
      </c>
      <c r="E11" s="15"/>
      <c r="G11" s="11"/>
      <c r="H11" s="11"/>
      <c r="I11" s="11"/>
    </row>
    <row r="12" customFormat="false" ht="14.4" hidden="false" customHeight="false" outlineLevel="0" collapsed="false">
      <c r="B12" s="16" t="s">
        <v>10</v>
      </c>
      <c r="C12" s="17" t="n">
        <v>381.4</v>
      </c>
      <c r="D12" s="18" t="s">
        <v>11</v>
      </c>
      <c r="E12" s="18"/>
    </row>
    <row r="13" customFormat="false" ht="14.4" hidden="false" customHeight="false" outlineLevel="0" collapsed="false">
      <c r="B13" s="19" t="s">
        <v>12</v>
      </c>
      <c r="C13" s="20"/>
      <c r="D13" s="21" t="s">
        <v>13</v>
      </c>
      <c r="E13" s="21"/>
    </row>
    <row r="14" customFormat="false" ht="14.4" hidden="false" customHeight="false" outlineLevel="0" collapsed="false">
      <c r="B14" s="19" t="s">
        <v>14</v>
      </c>
      <c r="C14" s="22" t="e">
        <f aca="false">((C11)/((C12/2)*(C13*10^-3)))</f>
        <v>#DIV/0!</v>
      </c>
      <c r="D14" s="18" t="s">
        <v>15</v>
      </c>
      <c r="E14" s="18"/>
    </row>
    <row r="15" customFormat="false" ht="15" hidden="false" customHeight="false" outlineLevel="0" collapsed="false">
      <c r="B15" s="23" t="s">
        <v>16</v>
      </c>
      <c r="C15" s="24" t="n">
        <v>10</v>
      </c>
      <c r="D15" s="25" t="s">
        <v>13</v>
      </c>
      <c r="E15" s="25"/>
    </row>
    <row r="16" customFormat="false" ht="15" hidden="false" customHeight="true" outlineLevel="0" collapsed="false">
      <c r="A16" s="26"/>
      <c r="B16" s="27"/>
      <c r="C16" s="27"/>
      <c r="D16" s="27"/>
      <c r="E16" s="28"/>
      <c r="F16" s="29"/>
    </row>
    <row r="17" customFormat="false" ht="15" hidden="false" customHeight="true" outlineLevel="0" collapsed="false">
      <c r="A17" s="26"/>
      <c r="B17" s="10" t="s">
        <v>17</v>
      </c>
      <c r="C17" s="10"/>
      <c r="D17" s="10"/>
      <c r="E17" s="12"/>
      <c r="F17" s="12"/>
    </row>
    <row r="18" customFormat="false" ht="15" hidden="false" customHeight="true" outlineLevel="0" collapsed="false">
      <c r="A18" s="26"/>
      <c r="B18" s="30" t="s">
        <v>18</v>
      </c>
      <c r="C18" s="31"/>
      <c r="D18" s="32" t="s">
        <v>13</v>
      </c>
    </row>
    <row r="19" customFormat="false" ht="15" hidden="false" customHeight="true" outlineLevel="0" collapsed="false">
      <c r="A19" s="26"/>
      <c r="B19" s="30" t="s">
        <v>19</v>
      </c>
      <c r="C19" s="33" t="n">
        <v>0.02</v>
      </c>
      <c r="D19" s="32" t="s">
        <v>15</v>
      </c>
    </row>
    <row r="20" customFormat="false" ht="15" hidden="false" customHeight="true" outlineLevel="0" collapsed="false">
      <c r="A20" s="26"/>
      <c r="B20" s="30" t="s">
        <v>20</v>
      </c>
      <c r="C20" s="22" t="e">
        <f aca="false">($C$15*C14)/C18</f>
        <v>#DIV/0!</v>
      </c>
      <c r="D20" s="32" t="s">
        <v>15</v>
      </c>
    </row>
    <row r="21" customFormat="false" ht="15" hidden="false" customHeight="true" outlineLevel="0" collapsed="false">
      <c r="A21" s="26"/>
      <c r="D21" s="28"/>
    </row>
    <row r="22" customFormat="false" ht="15" hidden="false" customHeight="true" outlineLevel="0" collapsed="false">
      <c r="A22" s="26"/>
      <c r="B22" s="10" t="s">
        <v>21</v>
      </c>
      <c r="C22" s="10"/>
      <c r="D22" s="10"/>
    </row>
    <row r="23" customFormat="false" ht="15" hidden="false" customHeight="true" outlineLevel="0" collapsed="false">
      <c r="A23" s="26"/>
      <c r="B23" s="30" t="s">
        <v>18</v>
      </c>
      <c r="C23" s="31"/>
      <c r="D23" s="32" t="s">
        <v>13</v>
      </c>
      <c r="E23" s="26"/>
      <c r="F23" s="26"/>
      <c r="G23" s="26"/>
      <c r="H23" s="26"/>
      <c r="I23" s="26"/>
    </row>
    <row r="24" customFormat="false" ht="15" hidden="false" customHeight="true" outlineLevel="0" collapsed="false">
      <c r="A24" s="26"/>
      <c r="B24" s="30" t="s">
        <v>19</v>
      </c>
      <c r="C24" s="33" t="n">
        <v>0.02</v>
      </c>
      <c r="D24" s="32" t="s">
        <v>15</v>
      </c>
      <c r="E24" s="26"/>
      <c r="F24" s="26"/>
      <c r="G24" s="26"/>
      <c r="H24" s="26"/>
      <c r="I24" s="26"/>
    </row>
    <row r="25" customFormat="false" ht="15" hidden="false" customHeight="true" outlineLevel="0" collapsed="false">
      <c r="A25" s="26"/>
      <c r="B25" s="30" t="s">
        <v>20</v>
      </c>
      <c r="C25" s="22" t="e">
        <f aca="false">($C$15*C14)/C23</f>
        <v>#DIV/0!</v>
      </c>
      <c r="D25" s="32" t="s">
        <v>15</v>
      </c>
      <c r="E25" s="26"/>
      <c r="F25" s="26"/>
      <c r="G25" s="26"/>
      <c r="H25" s="26"/>
      <c r="I25" s="26"/>
    </row>
    <row r="26" customFormat="false" ht="15" hidden="false" customHeight="true" outlineLevel="0" collapsed="false">
      <c r="A26" s="26"/>
      <c r="D26" s="26"/>
      <c r="E26" s="26"/>
      <c r="F26" s="26"/>
      <c r="G26" s="26"/>
      <c r="H26" s="26"/>
      <c r="I26" s="26"/>
    </row>
    <row r="27" customFormat="false" ht="15" hidden="false" customHeight="true" outlineLevel="0" collapsed="false">
      <c r="A27" s="26"/>
      <c r="B27" s="10" t="s">
        <v>22</v>
      </c>
      <c r="C27" s="10"/>
      <c r="D27" s="10"/>
      <c r="E27" s="26"/>
      <c r="F27" s="26"/>
      <c r="G27" s="26"/>
      <c r="H27" s="26"/>
      <c r="I27" s="26"/>
    </row>
    <row r="28" customFormat="false" ht="15" hidden="false" customHeight="true" outlineLevel="0" collapsed="false">
      <c r="A28" s="26"/>
      <c r="B28" s="30" t="s">
        <v>18</v>
      </c>
      <c r="C28" s="31"/>
      <c r="D28" s="32" t="s">
        <v>13</v>
      </c>
      <c r="E28" s="26"/>
      <c r="F28" s="26"/>
      <c r="G28" s="26"/>
      <c r="H28" s="26"/>
      <c r="I28" s="26"/>
    </row>
    <row r="29" customFormat="false" ht="15" hidden="false" customHeight="true" outlineLevel="0" collapsed="false">
      <c r="A29" s="26"/>
      <c r="B29" s="30" t="s">
        <v>19</v>
      </c>
      <c r="C29" s="33" t="n">
        <v>0.02</v>
      </c>
      <c r="D29" s="32" t="s">
        <v>15</v>
      </c>
      <c r="E29" s="26"/>
      <c r="F29" s="26"/>
      <c r="G29" s="26"/>
      <c r="H29" s="26"/>
      <c r="I29" s="26"/>
    </row>
    <row r="30" customFormat="false" ht="15" hidden="false" customHeight="true" outlineLevel="0" collapsed="false">
      <c r="A30" s="26"/>
      <c r="B30" s="30" t="s">
        <v>20</v>
      </c>
      <c r="C30" s="22" t="e">
        <f aca="false">($C$15*C14)/C28</f>
        <v>#DIV/0!</v>
      </c>
      <c r="D30" s="32" t="s">
        <v>15</v>
      </c>
      <c r="E30" s="26"/>
      <c r="F30" s="26"/>
      <c r="G30" s="26"/>
      <c r="H30" s="26"/>
      <c r="I30" s="26"/>
    </row>
    <row r="31" customFormat="false" ht="15" hidden="false" customHeight="true" outlineLevel="0" collapsed="false">
      <c r="A31" s="26"/>
      <c r="D31" s="26"/>
      <c r="E31" s="26"/>
      <c r="F31" s="26"/>
      <c r="G31" s="26"/>
      <c r="H31" s="26"/>
      <c r="I31" s="26"/>
    </row>
    <row r="32" customFormat="false" ht="15" hidden="false" customHeight="true" outlineLevel="0" collapsed="false">
      <c r="A32" s="26"/>
      <c r="B32" s="10" t="s">
        <v>23</v>
      </c>
      <c r="C32" s="10"/>
      <c r="D32" s="10"/>
      <c r="E32" s="26"/>
      <c r="F32" s="26"/>
      <c r="G32" s="26"/>
      <c r="H32" s="26"/>
      <c r="I32" s="26"/>
    </row>
    <row r="33" customFormat="false" ht="15" hidden="false" customHeight="true" outlineLevel="0" collapsed="false">
      <c r="A33" s="26"/>
      <c r="B33" s="30" t="s">
        <v>20</v>
      </c>
      <c r="C33" s="22" t="e">
        <f aca="false">AVERAGE(C30,C25,C20)</f>
        <v>#DIV/0!</v>
      </c>
      <c r="D33" s="32" t="s">
        <v>15</v>
      </c>
      <c r="E33" s="26"/>
      <c r="F33" s="26"/>
      <c r="G33" s="26"/>
      <c r="H33" s="26"/>
      <c r="I33" s="26"/>
    </row>
    <row r="34" customFormat="false" ht="15" hidden="false" customHeight="true" outlineLevel="0" collapsed="false">
      <c r="A34" s="26"/>
      <c r="B34" s="30" t="s">
        <v>19</v>
      </c>
      <c r="C34" s="17" t="n">
        <v>0.02</v>
      </c>
      <c r="D34" s="32" t="s">
        <v>15</v>
      </c>
      <c r="E34" s="26"/>
      <c r="F34" s="26"/>
      <c r="G34" s="26"/>
      <c r="H34" s="26"/>
      <c r="I34" s="26"/>
    </row>
    <row r="35" customFormat="false" ht="15" hidden="false" customHeight="true" outlineLevel="0" collapsed="false">
      <c r="A35" s="26"/>
      <c r="B35" s="30" t="s">
        <v>24</v>
      </c>
      <c r="C35" s="17" t="e">
        <f aca="false">((STDEV(C18,C23,C28)/(AVERAGE(C18,C23,C28))*100))</f>
        <v>#DIV/0!</v>
      </c>
      <c r="D35" s="32" t="s">
        <v>25</v>
      </c>
      <c r="E35" s="26"/>
      <c r="F35" s="26"/>
      <c r="G35" s="26"/>
      <c r="H35" s="26"/>
      <c r="I35" s="26"/>
    </row>
    <row r="36" customFormat="false" ht="15" hidden="false" customHeight="true" outlineLevel="0" collapsed="false">
      <c r="A36" s="26"/>
      <c r="B36" s="30" t="s">
        <v>26</v>
      </c>
      <c r="C36" s="34" t="e">
        <f aca="false">C33/C34</f>
        <v>#DIV/0!</v>
      </c>
      <c r="D36" s="35"/>
      <c r="E36" s="26"/>
      <c r="F36" s="26"/>
      <c r="G36" s="26"/>
      <c r="H36" s="26"/>
      <c r="I36" s="26"/>
    </row>
    <row r="37" customFormat="false" ht="15" hidden="false" customHeight="true" outlineLevel="0" collapsed="false">
      <c r="A37" s="26"/>
      <c r="D37" s="26"/>
      <c r="E37" s="26"/>
      <c r="F37" s="26"/>
      <c r="G37" s="26"/>
      <c r="H37" s="26"/>
      <c r="I37" s="26"/>
    </row>
    <row r="38" customFormat="false" ht="15" hidden="false" customHeight="true" outlineLevel="0" collapsed="false">
      <c r="A38" s="26"/>
      <c r="B38" s="36" t="s">
        <v>27</v>
      </c>
      <c r="C38" s="10" t="s">
        <v>28</v>
      </c>
      <c r="D38" s="26"/>
      <c r="E38" s="26"/>
      <c r="F38" s="26"/>
      <c r="G38" s="26"/>
      <c r="H38" s="26"/>
      <c r="I38" s="26"/>
    </row>
    <row r="39" customFormat="false" ht="15" hidden="false" customHeight="true" outlineLevel="0" collapsed="false">
      <c r="A39" s="26"/>
      <c r="B39" s="37" t="s">
        <v>29</v>
      </c>
      <c r="C39" s="38"/>
      <c r="D39" s="26"/>
      <c r="E39" s="26"/>
      <c r="F39" s="26"/>
      <c r="G39" s="26"/>
      <c r="H39" s="26"/>
      <c r="I39" s="26"/>
    </row>
    <row r="40" customFormat="false" ht="15" hidden="false" customHeight="true" outlineLevel="0" collapsed="false">
      <c r="A40" s="26"/>
      <c r="B40" s="37" t="s">
        <v>30</v>
      </c>
      <c r="C40" s="38"/>
      <c r="D40" s="26"/>
      <c r="E40" s="26"/>
      <c r="F40" s="26"/>
      <c r="G40" s="26"/>
      <c r="H40" s="26"/>
      <c r="I40" s="26"/>
    </row>
    <row r="41" customFormat="false" ht="15" hidden="false" customHeight="true" outlineLevel="0" collapsed="false">
      <c r="A41" s="26"/>
      <c r="B41" s="37" t="s">
        <v>31</v>
      </c>
      <c r="C41" s="38"/>
      <c r="D41" s="26"/>
      <c r="E41" s="26"/>
      <c r="F41" s="26"/>
      <c r="G41" s="26"/>
      <c r="H41" s="26"/>
      <c r="I41" s="26"/>
    </row>
    <row r="42" customFormat="false" ht="15" hidden="false" customHeight="true" outlineLevel="0" collapsed="false">
      <c r="A42" s="26"/>
      <c r="B42" s="37" t="s">
        <v>32</v>
      </c>
      <c r="C42" s="39"/>
      <c r="D42" s="26"/>
      <c r="E42" s="26"/>
      <c r="F42" s="26"/>
      <c r="G42" s="26"/>
      <c r="H42" s="26"/>
      <c r="I42" s="26"/>
    </row>
    <row r="43" customFormat="false" ht="15" hidden="false" customHeight="true" outlineLevel="0" collapsed="false">
      <c r="A43" s="26"/>
      <c r="B43" s="40" t="s">
        <v>33</v>
      </c>
      <c r="C43" s="39"/>
      <c r="D43" s="26"/>
      <c r="E43" s="26"/>
      <c r="F43" s="26"/>
      <c r="G43" s="26"/>
      <c r="H43" s="26"/>
      <c r="I43" s="26"/>
    </row>
    <row r="44" customFormat="false" ht="15" hidden="false" customHeight="true" outlineLevel="0" collapsed="false">
      <c r="A44" s="26"/>
      <c r="B44" s="40" t="s">
        <v>34</v>
      </c>
      <c r="C44" s="39"/>
      <c r="D44" s="26"/>
      <c r="E44" s="26"/>
      <c r="F44" s="26"/>
      <c r="G44" s="26"/>
      <c r="H44" s="26"/>
      <c r="I44" s="26"/>
    </row>
    <row r="45" customFormat="false" ht="15" hidden="false" customHeight="true" outlineLevel="0" collapsed="false">
      <c r="A45" s="26"/>
      <c r="B45" s="40"/>
      <c r="C45" s="39"/>
      <c r="D45" s="26"/>
      <c r="E45" s="26"/>
      <c r="F45" s="26"/>
      <c r="G45" s="26"/>
      <c r="H45" s="26"/>
      <c r="I45" s="26"/>
    </row>
    <row r="46" customFormat="false" ht="15" hidden="false" customHeight="true" outlineLevel="0" collapsed="false">
      <c r="A46" s="26"/>
      <c r="B46" s="40" t="s">
        <v>35</v>
      </c>
      <c r="C46" s="39"/>
      <c r="D46" s="26"/>
      <c r="E46" s="26"/>
      <c r="F46" s="26"/>
      <c r="G46" s="26"/>
      <c r="H46" s="26"/>
      <c r="I46" s="26"/>
    </row>
    <row r="47" customFormat="false" ht="15" hidden="false" customHeight="true" outlineLevel="0" collapsed="false">
      <c r="A47" s="26"/>
      <c r="B47" s="40" t="s">
        <v>36</v>
      </c>
      <c r="C47" s="39"/>
      <c r="D47" s="26"/>
      <c r="E47" s="26"/>
      <c r="F47" s="26"/>
      <c r="G47" s="26"/>
      <c r="H47" s="26"/>
      <c r="I47" s="26"/>
    </row>
    <row r="48" customFormat="false" ht="15" hidden="false" customHeight="true" outlineLevel="0" collapsed="false">
      <c r="A48" s="26"/>
      <c r="B48" s="41" t="s">
        <v>37</v>
      </c>
      <c r="C48" s="42"/>
      <c r="D48" s="26"/>
      <c r="E48" s="26"/>
      <c r="F48" s="26"/>
      <c r="G48" s="26"/>
      <c r="H48" s="26"/>
      <c r="I48" s="26"/>
    </row>
    <row r="49" customFormat="false" ht="15" hidden="false" customHeight="true" outlineLevel="0" collapsed="false">
      <c r="A49" s="26"/>
      <c r="D49" s="26"/>
      <c r="E49" s="26"/>
      <c r="F49" s="26"/>
      <c r="G49" s="26"/>
      <c r="H49" s="26"/>
      <c r="I49" s="26"/>
    </row>
    <row r="50" customFormat="false" ht="1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6"/>
    </row>
    <row r="51" customFormat="false" ht="15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  <c r="I51" s="26"/>
    </row>
    <row r="52" customFormat="false" ht="1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  <c r="I52" s="26"/>
    </row>
    <row r="53" customFormat="false" ht="15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  <c r="I53" s="26"/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  <c r="I54" s="26"/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  <c r="I55" s="26"/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  <c r="I56" s="26"/>
    </row>
    <row r="57" customFormat="false" ht="15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  <c r="I57" s="26"/>
    </row>
    <row r="58" customFormat="false" ht="1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  <c r="I58" s="26"/>
    </row>
    <row r="59" customFormat="false" ht="15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  <c r="I59" s="26"/>
    </row>
    <row r="60" customFormat="false" ht="15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</row>
    <row r="61" customFormat="false" ht="1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</row>
    <row r="62" customFormat="false" ht="1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</row>
    <row r="63" customFormat="false" ht="1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</row>
    <row r="64" customFormat="false" ht="1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</row>
    <row r="65" customFormat="false" ht="1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</row>
    <row r="66" customFormat="false" ht="1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</row>
    <row r="67" customFormat="false" ht="1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</row>
    <row r="68" customFormat="false" ht="1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</row>
    <row r="69" customFormat="false" ht="1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</row>
    <row r="70" customFormat="false" ht="1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</row>
    <row r="71" customFormat="false" ht="1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</row>
    <row r="72" customFormat="false" ht="1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</row>
    <row r="73" customFormat="false" ht="1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</row>
    <row r="74" customFormat="false" ht="1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</row>
    <row r="75" customFormat="false" ht="1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</row>
    <row r="81" customFormat="false" ht="15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</row>
    <row r="82" customFormat="false" ht="15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</row>
    <row r="83" customFormat="false" ht="15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</row>
    <row r="84" customFormat="false" ht="15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</row>
    <row r="85" customFormat="false" ht="15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</row>
    <row r="86" customFormat="false" ht="15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</row>
    <row r="87" customFormat="false" ht="15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</row>
    <row r="88" customFormat="false" ht="15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</row>
    <row r="89" customFormat="false" ht="15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</row>
    <row r="90" customFormat="false" ht="15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</row>
    <row r="91" customFormat="false" ht="15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</row>
    <row r="92" customFormat="false" ht="15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</row>
  </sheetData>
  <mergeCells count="21">
    <mergeCell ref="B1:G1"/>
    <mergeCell ref="B2:G2"/>
    <mergeCell ref="B3:C3"/>
    <mergeCell ref="D3:G3"/>
    <mergeCell ref="B4:C4"/>
    <mergeCell ref="D4:G4"/>
    <mergeCell ref="B5:C5"/>
    <mergeCell ref="D5:G5"/>
    <mergeCell ref="B6:C6"/>
    <mergeCell ref="D6:G6"/>
    <mergeCell ref="B8:F8"/>
    <mergeCell ref="B10:E10"/>
    <mergeCell ref="D11:E11"/>
    <mergeCell ref="D12:E12"/>
    <mergeCell ref="D13:E13"/>
    <mergeCell ref="D14:E14"/>
    <mergeCell ref="D15:E15"/>
    <mergeCell ref="B17:D17"/>
    <mergeCell ref="B22:D22"/>
    <mergeCell ref="B27:D27"/>
    <mergeCell ref="B32:D3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7" activeCellId="0" sqref="J7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2" min="2" style="0" width="28.65"/>
    <col collapsed="false" customWidth="true" hidden="false" outlineLevel="0" max="3" min="3" style="43" width="20.86"/>
    <col collapsed="false" customWidth="true" hidden="false" outlineLevel="0" max="4" min="4" style="43" width="22.87"/>
    <col collapsed="false" customWidth="true" hidden="false" outlineLevel="0" max="5" min="5" style="43" width="26.54"/>
    <col collapsed="false" customWidth="true" hidden="false" outlineLevel="0" max="6" min="6" style="43" width="20.42"/>
    <col collapsed="false" customWidth="true" hidden="false" outlineLevel="0" max="7" min="7" style="43" width="14.42"/>
    <col collapsed="false" customWidth="true" hidden="false" outlineLevel="0" max="8" min="8" style="0" width="24.09"/>
    <col collapsed="false" customWidth="true" hidden="false" outlineLevel="0" max="9" min="9" style="0" width="19.09"/>
    <col collapsed="false" customWidth="true" hidden="false" outlineLevel="0" max="10" min="10" style="0" width="29.86"/>
  </cols>
  <sheetData>
    <row r="1" customFormat="false" ht="14.4" hidden="false" customHeight="false" outlineLevel="0" collapsed="false">
      <c r="C1" s="0"/>
      <c r="D1" s="0"/>
      <c r="E1" s="0"/>
      <c r="F1" s="0"/>
      <c r="G1" s="0"/>
    </row>
    <row r="2" customFormat="false" ht="15" hidden="false" customHeight="false" outlineLevel="0" collapsed="false">
      <c r="E2" s="0"/>
      <c r="F2" s="0"/>
      <c r="G2" s="0"/>
      <c r="K2" s="44"/>
    </row>
    <row r="3" customFormat="false" ht="15" hidden="false" customHeight="false" outlineLevel="0" collapsed="false">
      <c r="B3" s="7" t="s">
        <v>38</v>
      </c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B4" s="45" t="s">
        <v>39</v>
      </c>
      <c r="C4" s="45"/>
      <c r="D4" s="46" t="s">
        <v>40</v>
      </c>
      <c r="E4" s="46"/>
      <c r="F4" s="46"/>
      <c r="G4" s="46"/>
      <c r="H4" s="45" t="s">
        <v>41</v>
      </c>
      <c r="I4" s="45"/>
      <c r="J4" s="47"/>
    </row>
    <row r="5" customFormat="false" ht="14.4" hidden="false" customHeight="false" outlineLevel="0" collapsed="false">
      <c r="B5" s="7" t="s">
        <v>42</v>
      </c>
      <c r="C5" s="48" t="s">
        <v>43</v>
      </c>
      <c r="D5" s="48" t="s">
        <v>44</v>
      </c>
      <c r="E5" s="48" t="s">
        <v>45</v>
      </c>
      <c r="F5" s="48" t="s">
        <v>46</v>
      </c>
      <c r="G5" s="48" t="s">
        <v>47</v>
      </c>
      <c r="H5" s="48" t="s">
        <v>48</v>
      </c>
      <c r="I5" s="48" t="s">
        <v>49</v>
      </c>
      <c r="J5" s="48" t="s">
        <v>50</v>
      </c>
    </row>
    <row r="6" customFormat="false" ht="15" hidden="false" customHeight="false" outlineLevel="0" collapsed="false">
      <c r="B6" s="7"/>
      <c r="C6" s="49" t="s">
        <v>13</v>
      </c>
      <c r="D6" s="49" t="s">
        <v>13</v>
      </c>
      <c r="E6" s="49" t="s">
        <v>51</v>
      </c>
      <c r="F6" s="49" t="s">
        <v>52</v>
      </c>
      <c r="G6" s="49" t="s">
        <v>53</v>
      </c>
      <c r="H6" s="49" t="s">
        <v>13</v>
      </c>
      <c r="I6" s="49"/>
      <c r="J6" s="49" t="s">
        <v>54</v>
      </c>
    </row>
    <row r="7" customFormat="false" ht="14.4" hidden="false" customHeight="false" outlineLevel="0" collapsed="false">
      <c r="B7" s="37"/>
      <c r="C7" s="50"/>
      <c r="D7" s="50"/>
      <c r="E7" s="50"/>
      <c r="F7" s="50"/>
      <c r="G7" s="50"/>
      <c r="H7" s="50"/>
      <c r="I7" s="51"/>
      <c r="J7" s="52" t="e">
        <f aca="false">((H7*(PADRONIZAÇÃO!$C$33/AMOSTRAS!I7)/AMOSTRAS!C7)*14000)</f>
        <v>#DIV/0!</v>
      </c>
    </row>
    <row r="8" customFormat="false" ht="14.4" hidden="false" customHeight="false" outlineLevel="0" collapsed="false">
      <c r="B8" s="40"/>
      <c r="C8" s="53"/>
      <c r="D8" s="53"/>
      <c r="E8" s="53"/>
      <c r="F8" s="53"/>
      <c r="G8" s="53"/>
      <c r="H8" s="53"/>
      <c r="I8" s="54"/>
      <c r="J8" s="55" t="e">
        <f aca="false">(H8*(PADRONIZAÇÃO!$C$33/AMOSTRAS!I8)*14000)/AMOSTRAS!C8</f>
        <v>#DIV/0!</v>
      </c>
    </row>
    <row r="9" customFormat="false" ht="14.4" hidden="false" customHeight="false" outlineLevel="0" collapsed="false">
      <c r="B9" s="40"/>
      <c r="C9" s="53"/>
      <c r="D9" s="53"/>
      <c r="E9" s="53"/>
      <c r="F9" s="53"/>
      <c r="G9" s="53"/>
      <c r="H9" s="53"/>
      <c r="I9" s="54"/>
      <c r="J9" s="55" t="e">
        <f aca="false">(H9*(PADRONIZAÇÃO!$C$33/AMOSTRAS!I9)*14000)/AMOSTRAS!C9</f>
        <v>#DIV/0!</v>
      </c>
    </row>
    <row r="10" customFormat="false" ht="14.4" hidden="false" customHeight="false" outlineLevel="0" collapsed="false">
      <c r="B10" s="40"/>
      <c r="C10" s="53"/>
      <c r="D10" s="53"/>
      <c r="E10" s="53"/>
      <c r="F10" s="53"/>
      <c r="G10" s="53"/>
      <c r="H10" s="53"/>
      <c r="I10" s="54"/>
      <c r="J10" s="55" t="e">
        <f aca="false">(H10*(PADRONIZAÇÃO!$C$33/AMOSTRAS!I10)*14000)/AMOSTRAS!C10</f>
        <v>#DIV/0!</v>
      </c>
    </row>
    <row r="11" customFormat="false" ht="14.4" hidden="false" customHeight="false" outlineLevel="0" collapsed="false">
      <c r="B11" s="40"/>
      <c r="C11" s="53"/>
      <c r="D11" s="53"/>
      <c r="E11" s="53"/>
      <c r="F11" s="53"/>
      <c r="G11" s="53"/>
      <c r="H11" s="53"/>
      <c r="I11" s="54"/>
      <c r="J11" s="55" t="e">
        <f aca="false">(H11*(PADRONIZAÇÃO!$C$33/AMOSTRAS!I11)*14000)/AMOSTRAS!C11</f>
        <v>#DIV/0!</v>
      </c>
    </row>
    <row r="12" customFormat="false" ht="14.4" hidden="false" customHeight="false" outlineLevel="0" collapsed="false">
      <c r="B12" s="40"/>
      <c r="C12" s="53"/>
      <c r="D12" s="53"/>
      <c r="E12" s="53"/>
      <c r="F12" s="53"/>
      <c r="G12" s="53"/>
      <c r="H12" s="53"/>
      <c r="I12" s="54"/>
      <c r="J12" s="55" t="e">
        <f aca="false">(H12*(PADRONIZAÇÃO!$C$33/AMOSTRAS!I12)*14000)/AMOSTRAS!C12</f>
        <v>#DIV/0!</v>
      </c>
    </row>
    <row r="13" customFormat="false" ht="14.4" hidden="false" customHeight="false" outlineLevel="0" collapsed="false">
      <c r="B13" s="40"/>
      <c r="C13" s="53"/>
      <c r="D13" s="53"/>
      <c r="E13" s="53"/>
      <c r="F13" s="53"/>
      <c r="G13" s="53"/>
      <c r="H13" s="53"/>
      <c r="I13" s="54"/>
      <c r="J13" s="55" t="e">
        <f aca="false">(H13*(PADRONIZAÇÃO!$C$33/AMOSTRAS!I13)*14000)/AMOSTRAS!C13</f>
        <v>#DIV/0!</v>
      </c>
    </row>
    <row r="14" customFormat="false" ht="14.4" hidden="false" customHeight="false" outlineLevel="0" collapsed="false">
      <c r="B14" s="40"/>
      <c r="C14" s="53"/>
      <c r="D14" s="53"/>
      <c r="E14" s="53"/>
      <c r="F14" s="53"/>
      <c r="G14" s="53"/>
      <c r="H14" s="53"/>
      <c r="I14" s="54"/>
      <c r="J14" s="55" t="e">
        <f aca="false">(H14*(PADRONIZAÇÃO!$C$33/AMOSTRAS!I14)*14000)/AMOSTRAS!C14</f>
        <v>#DIV/0!</v>
      </c>
    </row>
    <row r="15" customFormat="false" ht="14.4" hidden="false" customHeight="false" outlineLevel="0" collapsed="false">
      <c r="B15" s="40"/>
      <c r="C15" s="53"/>
      <c r="D15" s="53"/>
      <c r="E15" s="53"/>
      <c r="F15" s="53"/>
      <c r="G15" s="53"/>
      <c r="H15" s="53"/>
      <c r="I15" s="54"/>
      <c r="J15" s="55" t="e">
        <f aca="false">(H15*(PADRONIZAÇÃO!$C$33/AMOSTRAS!I15)*14000)/AMOSTRAS!C15</f>
        <v>#DIV/0!</v>
      </c>
    </row>
    <row r="16" customFormat="false" ht="14.4" hidden="false" customHeight="false" outlineLevel="0" collapsed="false">
      <c r="B16" s="40"/>
      <c r="C16" s="53"/>
      <c r="D16" s="53"/>
      <c r="E16" s="53"/>
      <c r="F16" s="53"/>
      <c r="G16" s="53"/>
      <c r="H16" s="53"/>
      <c r="I16" s="54"/>
      <c r="J16" s="55" t="e">
        <f aca="false">(H16*(PADRONIZAÇÃO!$C$33/AMOSTRAS!I16)*14000)/AMOSTRAS!C16</f>
        <v>#DIV/0!</v>
      </c>
    </row>
    <row r="17" customFormat="false" ht="14.4" hidden="false" customHeight="false" outlineLevel="0" collapsed="false">
      <c r="B17" s="40"/>
      <c r="C17" s="53"/>
      <c r="D17" s="53"/>
      <c r="E17" s="53"/>
      <c r="F17" s="53"/>
      <c r="G17" s="53"/>
      <c r="H17" s="53"/>
      <c r="I17" s="54"/>
      <c r="J17" s="55" t="e">
        <f aca="false">(H17*(PADRONIZAÇÃO!$C$33/AMOSTRAS!I17)*14000)/AMOSTRAS!C17</f>
        <v>#DIV/0!</v>
      </c>
    </row>
    <row r="18" customFormat="false" ht="14.4" hidden="false" customHeight="false" outlineLevel="0" collapsed="false">
      <c r="B18" s="40"/>
      <c r="C18" s="53"/>
      <c r="D18" s="53"/>
      <c r="E18" s="53"/>
      <c r="F18" s="53"/>
      <c r="G18" s="53"/>
      <c r="H18" s="53"/>
      <c r="I18" s="54"/>
      <c r="J18" s="55" t="e">
        <f aca="false">(H18*(PADRONIZAÇÃO!$C$33/AMOSTRAS!I18)*14000)/AMOSTRAS!C18</f>
        <v>#DIV/0!</v>
      </c>
    </row>
    <row r="19" customFormat="false" ht="14.4" hidden="false" customHeight="false" outlineLevel="0" collapsed="false">
      <c r="B19" s="40"/>
      <c r="C19" s="53"/>
      <c r="D19" s="53"/>
      <c r="E19" s="53"/>
      <c r="F19" s="53"/>
      <c r="G19" s="53"/>
      <c r="H19" s="53"/>
      <c r="I19" s="54"/>
      <c r="J19" s="55" t="e">
        <f aca="false">(H19*(PADRONIZAÇÃO!$C$33/AMOSTRAS!I19)*14000)/AMOSTRAS!C19</f>
        <v>#DIV/0!</v>
      </c>
    </row>
    <row r="20" customFormat="false" ht="14.4" hidden="false" customHeight="false" outlineLevel="0" collapsed="false">
      <c r="B20" s="40"/>
      <c r="C20" s="53"/>
      <c r="D20" s="53"/>
      <c r="E20" s="53"/>
      <c r="F20" s="53"/>
      <c r="G20" s="53"/>
      <c r="H20" s="53"/>
      <c r="I20" s="54"/>
      <c r="J20" s="55" t="e">
        <f aca="false">(H20*(PADRONIZAÇÃO!$C$33/AMOSTRAS!I20)*14000)/AMOSTRAS!C20</f>
        <v>#DIV/0!</v>
      </c>
    </row>
    <row r="21" customFormat="false" ht="14.4" hidden="false" customHeight="false" outlineLevel="0" collapsed="false">
      <c r="B21" s="40"/>
      <c r="C21" s="53"/>
      <c r="D21" s="53"/>
      <c r="E21" s="53"/>
      <c r="F21" s="53"/>
      <c r="G21" s="53"/>
      <c r="H21" s="53"/>
      <c r="I21" s="54"/>
      <c r="J21" s="55" t="e">
        <f aca="false">(H21*(PADRONIZAÇÃO!$C$33/AMOSTRAS!I21)*14000)/AMOSTRAS!C21</f>
        <v>#DIV/0!</v>
      </c>
    </row>
    <row r="22" customFormat="false" ht="14.4" hidden="false" customHeight="false" outlineLevel="0" collapsed="false">
      <c r="B22" s="40"/>
      <c r="C22" s="53"/>
      <c r="D22" s="53"/>
      <c r="E22" s="53"/>
      <c r="F22" s="53"/>
      <c r="G22" s="53"/>
      <c r="H22" s="53"/>
      <c r="I22" s="54"/>
      <c r="J22" s="55" t="e">
        <f aca="false">(H22*(PADRONIZAÇÃO!$C$33/AMOSTRAS!I22)*14000)/AMOSTRAS!C22</f>
        <v>#DIV/0!</v>
      </c>
    </row>
    <row r="23" customFormat="false" ht="14.4" hidden="false" customHeight="false" outlineLevel="0" collapsed="false">
      <c r="B23" s="40"/>
      <c r="C23" s="53"/>
      <c r="D23" s="53"/>
      <c r="E23" s="53"/>
      <c r="F23" s="53"/>
      <c r="G23" s="53"/>
      <c r="H23" s="53"/>
      <c r="I23" s="54"/>
      <c r="J23" s="55" t="e">
        <f aca="false">(H23*(PADRONIZAÇÃO!$C$33/AMOSTRAS!I23)*14000)/AMOSTRAS!C23</f>
        <v>#DIV/0!</v>
      </c>
    </row>
    <row r="24" customFormat="false" ht="14.4" hidden="false" customHeight="false" outlineLevel="0" collapsed="false">
      <c r="B24" s="40"/>
      <c r="C24" s="53"/>
      <c r="D24" s="53"/>
      <c r="E24" s="53"/>
      <c r="F24" s="53"/>
      <c r="G24" s="53"/>
      <c r="H24" s="53"/>
      <c r="I24" s="54"/>
      <c r="J24" s="55" t="e">
        <f aca="false">(H24*(PADRONIZAÇÃO!$C$33/AMOSTRAS!I24)*14000)/AMOSTRAS!C24</f>
        <v>#DIV/0!</v>
      </c>
    </row>
    <row r="25" customFormat="false" ht="14.4" hidden="false" customHeight="false" outlineLevel="0" collapsed="false">
      <c r="B25" s="40"/>
      <c r="C25" s="53"/>
      <c r="D25" s="53"/>
      <c r="E25" s="53"/>
      <c r="F25" s="53"/>
      <c r="G25" s="53"/>
      <c r="H25" s="53"/>
      <c r="I25" s="54"/>
      <c r="J25" s="55" t="e">
        <f aca="false">(H25*(PADRONIZAÇÃO!$C$33/AMOSTRAS!I25)*14000)/AMOSTRAS!C25</f>
        <v>#DIV/0!</v>
      </c>
    </row>
    <row r="26" customFormat="false" ht="14.4" hidden="false" customHeight="false" outlineLevel="0" collapsed="false">
      <c r="B26" s="40"/>
      <c r="C26" s="53"/>
      <c r="D26" s="53"/>
      <c r="E26" s="53"/>
      <c r="F26" s="53"/>
      <c r="G26" s="53"/>
      <c r="H26" s="53"/>
      <c r="I26" s="54"/>
      <c r="J26" s="55" t="e">
        <f aca="false">(H26*(PADRONIZAÇÃO!$C$33/AMOSTRAS!I26)*14000)/AMOSTRAS!C26</f>
        <v>#DIV/0!</v>
      </c>
    </row>
    <row r="27" customFormat="false" ht="14.4" hidden="false" customHeight="false" outlineLevel="0" collapsed="false">
      <c r="B27" s="40"/>
      <c r="C27" s="53"/>
      <c r="D27" s="53"/>
      <c r="E27" s="53"/>
      <c r="F27" s="53"/>
      <c r="G27" s="53"/>
      <c r="H27" s="53"/>
      <c r="I27" s="54"/>
      <c r="J27" s="55" t="e">
        <f aca="false">(H27*(PADRONIZAÇÃO!$C$33/AMOSTRAS!I27)*14000)/AMOSTRAS!C27</f>
        <v>#DIV/0!</v>
      </c>
    </row>
    <row r="28" customFormat="false" ht="14.4" hidden="false" customHeight="false" outlineLevel="0" collapsed="false">
      <c r="B28" s="40"/>
      <c r="C28" s="53"/>
      <c r="D28" s="53"/>
      <c r="E28" s="53"/>
      <c r="F28" s="53"/>
      <c r="G28" s="53"/>
      <c r="H28" s="53"/>
      <c r="I28" s="54"/>
      <c r="J28" s="55" t="e">
        <f aca="false">(H28*(PADRONIZAÇÃO!$C$33/AMOSTRAS!I28)*14000)/AMOSTRAS!C28</f>
        <v>#DIV/0!</v>
      </c>
    </row>
    <row r="29" customFormat="false" ht="14.4" hidden="false" customHeight="false" outlineLevel="0" collapsed="false">
      <c r="B29" s="40"/>
      <c r="C29" s="53"/>
      <c r="D29" s="53"/>
      <c r="E29" s="53"/>
      <c r="F29" s="53"/>
      <c r="G29" s="53"/>
      <c r="H29" s="53"/>
      <c r="I29" s="54"/>
      <c r="J29" s="55" t="e">
        <f aca="false">(H29*(PADRONIZAÇÃO!$C$33/AMOSTRAS!I29)*14000)/AMOSTRAS!C29</f>
        <v>#DIV/0!</v>
      </c>
    </row>
    <row r="30" customFormat="false" ht="14.4" hidden="false" customHeight="false" outlineLevel="0" collapsed="false">
      <c r="B30" s="40"/>
      <c r="C30" s="53"/>
      <c r="D30" s="53"/>
      <c r="E30" s="53"/>
      <c r="F30" s="53"/>
      <c r="G30" s="53"/>
      <c r="H30" s="53"/>
      <c r="I30" s="54"/>
      <c r="J30" s="55" t="e">
        <f aca="false">(H30*(PADRONIZAÇÃO!$C$33/AMOSTRAS!I30)*14000)/AMOSTRAS!C30</f>
        <v>#DIV/0!</v>
      </c>
    </row>
    <row r="31" customFormat="false" ht="14.4" hidden="false" customHeight="false" outlineLevel="0" collapsed="false">
      <c r="B31" s="40"/>
      <c r="C31" s="53"/>
      <c r="D31" s="53"/>
      <c r="E31" s="53"/>
      <c r="F31" s="53"/>
      <c r="G31" s="53"/>
      <c r="H31" s="53"/>
      <c r="I31" s="54"/>
      <c r="J31" s="55" t="e">
        <f aca="false">(H31*(PADRONIZAÇÃO!$C$33/AMOSTRAS!I31)*14000)/AMOSTRAS!C31</f>
        <v>#DIV/0!</v>
      </c>
    </row>
    <row r="32" customFormat="false" ht="14.4" hidden="false" customHeight="false" outlineLevel="0" collapsed="false">
      <c r="B32" s="40"/>
      <c r="C32" s="53"/>
      <c r="D32" s="53"/>
      <c r="E32" s="53"/>
      <c r="F32" s="53"/>
      <c r="G32" s="53"/>
      <c r="H32" s="53"/>
      <c r="I32" s="54"/>
      <c r="J32" s="55" t="e">
        <f aca="false">(H32*(PADRONIZAÇÃO!$C$33/AMOSTRAS!I32)*14000)/AMOSTRAS!C32</f>
        <v>#DIV/0!</v>
      </c>
    </row>
    <row r="33" customFormat="false" ht="14.4" hidden="false" customHeight="false" outlineLevel="0" collapsed="false">
      <c r="B33" s="40"/>
      <c r="C33" s="53"/>
      <c r="D33" s="53"/>
      <c r="E33" s="53"/>
      <c r="F33" s="53"/>
      <c r="G33" s="53"/>
      <c r="H33" s="53"/>
      <c r="I33" s="54"/>
      <c r="J33" s="55" t="e">
        <f aca="false">(H33*(PADRONIZAÇÃO!$C$33/AMOSTRAS!I33)*14000)/AMOSTRAS!C33</f>
        <v>#DIV/0!</v>
      </c>
    </row>
    <row r="34" customFormat="false" ht="14.4" hidden="false" customHeight="false" outlineLevel="0" collapsed="false">
      <c r="B34" s="40"/>
      <c r="C34" s="53"/>
      <c r="D34" s="53"/>
      <c r="E34" s="53"/>
      <c r="F34" s="53"/>
      <c r="G34" s="53"/>
      <c r="H34" s="53"/>
      <c r="I34" s="54"/>
      <c r="J34" s="55" t="e">
        <f aca="false">(H34*(PADRONIZAÇÃO!$C$33/AMOSTRAS!I34)*14000)/AMOSTRAS!C34</f>
        <v>#DIV/0!</v>
      </c>
    </row>
    <row r="35" customFormat="false" ht="14.4" hidden="false" customHeight="false" outlineLevel="0" collapsed="false">
      <c r="B35" s="40"/>
      <c r="C35" s="53"/>
      <c r="D35" s="53"/>
      <c r="E35" s="53"/>
      <c r="F35" s="53"/>
      <c r="G35" s="53"/>
      <c r="H35" s="53"/>
      <c r="I35" s="54"/>
      <c r="J35" s="55" t="e">
        <f aca="false">(H35*(PADRONIZAÇÃO!$C$33/AMOSTRAS!I35)*14000)/AMOSTRAS!C35</f>
        <v>#DIV/0!</v>
      </c>
    </row>
    <row r="36" customFormat="false" ht="14.4" hidden="false" customHeight="false" outlineLevel="0" collapsed="false">
      <c r="B36" s="40"/>
      <c r="C36" s="53"/>
      <c r="D36" s="53"/>
      <c r="E36" s="53"/>
      <c r="F36" s="53"/>
      <c r="G36" s="53"/>
      <c r="H36" s="53"/>
      <c r="I36" s="54"/>
      <c r="J36" s="55" t="e">
        <f aca="false">(H36*(PADRONIZAÇÃO!$C$33/AMOSTRAS!I36)*14000)/AMOSTRAS!C36</f>
        <v>#DIV/0!</v>
      </c>
    </row>
    <row r="37" customFormat="false" ht="14.4" hidden="false" customHeight="false" outlineLevel="0" collapsed="false">
      <c r="B37" s="40"/>
      <c r="C37" s="53"/>
      <c r="D37" s="53"/>
      <c r="E37" s="53"/>
      <c r="F37" s="53"/>
      <c r="G37" s="53"/>
      <c r="H37" s="53"/>
      <c r="I37" s="54"/>
      <c r="J37" s="55" t="e">
        <f aca="false">(H37*(PADRONIZAÇÃO!$C$33/AMOSTRAS!I37)*14000)/AMOSTRAS!C37</f>
        <v>#DIV/0!</v>
      </c>
    </row>
    <row r="38" customFormat="false" ht="14.4" hidden="false" customHeight="false" outlineLevel="0" collapsed="false">
      <c r="B38" s="40"/>
      <c r="C38" s="53"/>
      <c r="D38" s="53"/>
      <c r="E38" s="53"/>
      <c r="F38" s="53"/>
      <c r="G38" s="53"/>
      <c r="H38" s="53"/>
      <c r="I38" s="54"/>
      <c r="J38" s="55" t="e">
        <f aca="false">(H38*(PADRONIZAÇÃO!$C$33/AMOSTRAS!I38)*14000)/AMOSTRAS!C38</f>
        <v>#DIV/0!</v>
      </c>
    </row>
    <row r="39" customFormat="false" ht="15" hidden="false" customHeight="false" outlineLevel="0" collapsed="false">
      <c r="B39" s="41"/>
      <c r="C39" s="56"/>
      <c r="D39" s="56"/>
      <c r="E39" s="56"/>
      <c r="F39" s="56"/>
      <c r="G39" s="56"/>
      <c r="H39" s="56"/>
      <c r="I39" s="57"/>
      <c r="J39" s="58" t="e">
        <f aca="false">(H39*(PADRONIZAÇÃO!$C$33/AMOSTRAS!I39)*14000)/AMOSTRAS!C39</f>
        <v>#DIV/0!</v>
      </c>
    </row>
  </sheetData>
  <mergeCells count="5">
    <mergeCell ref="B3:J3"/>
    <mergeCell ref="B4:C4"/>
    <mergeCell ref="D4:G4"/>
    <mergeCell ref="H4:I4"/>
    <mergeCell ref="B5:B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2020-04-16T14:33:38Z</dcterms:created>
  <dc:creator>User</dc:creator>
  <dc:description/>
  <dc:language>pt-BR</dc:language>
  <cp:lastModifiedBy>Renato Pereira Ribeiro</cp:lastModifiedBy>
  <dcterms:modified xsi:type="dcterms:W3CDTF">2026-06-25T13:33:18Z</dcterms:modified>
  <cp:revision>0</cp:revision>
  <dc:subject/>
  <dc:title/>
</cp:coreProperties>
</file>